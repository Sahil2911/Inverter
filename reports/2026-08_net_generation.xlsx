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g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<sst xmlns="http://schemas.openxmlformats.org/spreadsheetml/2006/main" count="46" uniqueCount="22">
  <si>
    <t xml:space="preserve">IFFCO Kalol — Daily Net Generation</t>
  </si>
  <si>
    <t xml:space="preserve">August 2026 · IFFCO Kalol, Gujarat, India · plant and township</t>
  </si>
  <si>
    <t xml:space="preserve">Date</t>
  </si>
  <si>
    <t xml:space="preserve">Day</t>
  </si>
  <si>
    <t xml:space="preserve">Net kWh (as printed in report)</t>
  </si>
  <si>
    <t xml:space="preserve">Net kWh (sum of site columns)</t>
  </si>
  <si>
    <t xml:space="preserve">Difference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</si>
  <si>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</si>
  <si>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</si>
  <si>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</si>
  <si>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</si>
  <si>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</si>
  <si>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</si>
  <si>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</si>
  <si>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Month total</t>
  </si>
  <si>
    <t xml:space="preserve">Days reported</t>
  </si>
  <si>
    <t xml:space="preserve">Notes</t>
  </si>
  <si>
    <t xml:space="preserve">• “As printed” is the TOTAL NET GENERATION cell of the daily inverter report, i.e. the figure the plant circulates.</t>
  </si>
  <si>
    <t xml:space="preserve">• “Sum of site columns” adds the individual site readings in the same sheet.</t>
  </si>
  <si>
    <t xml:space="preserve">• The two disagree every day. The printed plant total leaves out the MPSS &amp; MCC 13-16 column, and the printed net total adds a flat 387.60 kWh that does not come from any column.</t>
  </si>
  <si>
    <t xml:space="preserve">• Figures are reproduced exactly as the daily report gave them; nothing is corrected here.</t>
  </si>
  <si>
    <t xml:space="preserve">• Generated from data/processed/generation_daily.csv.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</si>
</sst>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;\-#,##0.00;\–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DF5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2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46235</v>
      </c>
      <c r="B5" s="5" t="s">
        <v>7</v>
      </c>
      <c r="C5" s="6" t="n">
        <v>700.62</v>
      </c>
      <c r="D5" s="6" t="n">
        <v>356.49</v>
      </c>
      <c r="E5" s="6" t="n">
        <f aca="false">IF(COUNT(C5,D5)=2,D5-C5,"")</f>
        <v>-344.13</v>
      </c>
    </row>
    <row r="6" customFormat="false" ht="15" hidden="false" customHeight="false" outlineLevel="0" collapsed="false">
      <c r="A6" s="4" t="n">
        <v>46236</v>
      </c>
      <c r="B6" s="5" t="s">
        <v>8</v>
      </c>
      <c r="C6" s="6" t="n">
        <v>993.52</v>
      </c>
      <c r="D6" s="6" t="n">
        <v>731.56</v>
      </c>
      <c r="E6" s="6" t="n">
        <f aca="false">IF(COUNT(C6,D6)=2,D6-C6,"")</f>
        <v>-261.96</v>
      </c>
    </row>
    <row r="7" customFormat="false" ht="15" hidden="false" customHeight="false" outlineLevel="0" collapsed="false">
      <c r="A7" s="4" t="n">
        <v>46237</v>
      </c>
      <c r="B7" s="5" t="s">
        <v>9</v>
      </c>
      <c r="C7" s="6" t="n">
        <v>1479.22</v>
      </c>
      <c r="D7" s="6" t="n">
        <v>1352.89</v>
      </c>
      <c r="E7" s="6" t="n">
        <f aca="false">IF(COUNT(C7,D7)=2,D7-C7,"")</f>
        <v>-126.33</v>
      </c>
    </row>
    <row r="8" customFormat="false" ht="15" hidden="false" customHeight="false" outlineLevel="0" collapsed="false">
      <c r="A8" s="4" t="n">
        <v>46238</v>
      </c>
      <c r="B8" s="5" t="s">
        <v>10</v>
      </c>
      <c r="C8" s="6" t="n">
        <v>1377.43</v>
      </c>
      <c r="D8" s="6" t="n">
        <v>1195.66</v>
      </c>
      <c r="E8" s="6" t="n">
        <f aca="false">IF(COUNT(C8,D8)=2,D8-C8,"")</f>
        <v>-181.77</v>
      </c>
    </row>
    <row r="9" customFormat="false" ht="15" hidden="false" customHeight="false" outlineLevel="0" collapsed="false">
      <c r="A9" s="4" t="n">
        <v>46239</v>
      </c>
      <c r="B9" s="5" t="s">
        <v>11</v>
      </c>
      <c r="C9" s="6" t="n">
        <v>1504.08</v>
      </c>
      <c r="D9" s="6" t="n">
        <v>1349.04</v>
      </c>
      <c r="E9" s="6" t="n">
        <f aca="false">IF(COUNT(C9,D9)=2,D9-C9,"")</f>
        <v>-155.04</v>
      </c>
    </row>
    <row r="10" customFormat="false" ht="15" hidden="false" customHeight="false" outlineLevel="0" collapsed="false">
      <c r="A10" s="4" t="n">
        <v>46240</v>
      </c>
      <c r="B10" s="5" t="s">
        <v>12</v>
      </c>
      <c r="C10" s="6" t="n">
        <v>1633.78</v>
      </c>
      <c r="D10" s="6" t="n">
        <v>1492.6</v>
      </c>
      <c r="E10" s="6" t="n">
        <f aca="false">IF(COUNT(C10,D10)=2,D10-C10,"")</f>
        <v>-141.18</v>
      </c>
    </row>
    <row r="11" customFormat="false" ht="15" hidden="false" customHeight="false" outlineLevel="0" collapsed="false">
      <c r="A11" s="4" t="n">
        <v>46241</v>
      </c>
      <c r="B11" s="5" t="s">
        <v>13</v>
      </c>
      <c r="C11" s="6" t="n">
        <v>1513.75</v>
      </c>
      <c r="D11" s="6" t="n">
        <v>1330.99</v>
      </c>
      <c r="E11" s="6" t="n">
        <f aca="false">IF(COUNT(C11,D11)=2,D11-C11,"")</f>
        <v>-182.76</v>
      </c>
    </row>
    <row r="12" customFormat="false" ht="15" hidden="false" customHeight="false" outlineLevel="0" collapsed="false">
      <c r="A12" s="4" t="n">
        <v>46242</v>
      </c>
      <c r="B12" s="5" t="s">
        <v>7</v>
      </c>
      <c r="C12" s="6" t="n">
        <v>1639.22</v>
      </c>
      <c r="D12" s="6" t="n">
        <v>1495.07</v>
      </c>
      <c r="E12" s="6" t="n">
        <f aca="false">IF(COUNT(C12,D12)=2,D12-C12,"")</f>
        <v>-144.15</v>
      </c>
    </row>
    <row r="13" customFormat="false" ht="15" hidden="false" customHeight="false" outlineLevel="0" collapsed="false">
      <c r="A13" s="4" t="n">
        <v>46243</v>
      </c>
      <c r="B13" s="5" t="s">
        <v>8</v>
      </c>
      <c r="C13" s="6" t="n">
        <v>1716.11</v>
      </c>
      <c r="D13" s="6" t="n">
        <v>1597.7</v>
      </c>
      <c r="E13" s="6" t="n">
        <f aca="false">IF(COUNT(C13,D13)=2,D13-C13,"")</f>
        <v>-118.41</v>
      </c>
    </row>
    <row r="14" customFormat="false" ht="15" hidden="false" customHeight="false" outlineLevel="0" collapsed="false">
      <c r="A14" s="4" t="n">
        <v>46244</v>
      </c>
      <c r="B14" s="5" t="s">
        <v>9</v>
      </c>
      <c r="C14" s="6" t="n">
        <v>1004.34</v>
      </c>
      <c r="D14" s="6" t="n">
        <v>694.86</v>
      </c>
      <c r="E14" s="6" t="n">
        <f aca="false">IF(COUNT(C14,D14)=2,D14-C14,"")</f>
        <v>-309.48</v>
      </c>
    </row>
    <row r="15" customFormat="false" ht="15" hidden="false" customHeight="false" outlineLevel="0" collapsed="false">
      <c r="A15" s="4" t="n">
        <v>46245</v>
      </c>
      <c r="B15" s="5" t="s">
        <v>10</v>
      </c>
      <c r="C15" s="6" t="n">
        <v>1064.91</v>
      </c>
      <c r="D15" s="6" t="n">
        <v>782.16</v>
      </c>
      <c r="E15" s="6" t="n">
        <f aca="false">IF(COUNT(C15,D15)=2,D15-C15,"")</f>
        <v>-282.75</v>
      </c>
    </row>
    <row r="16" customFormat="false" ht="15" hidden="false" customHeight="false" outlineLevel="0" collapsed="false">
      <c r="A16" s="4" t="n">
        <v>46246</v>
      </c>
      <c r="B16" s="5" t="s">
        <v>11</v>
      </c>
      <c r="C16" s="6" t="n">
        <v>1108.5</v>
      </c>
      <c r="D16" s="6" t="n">
        <v>825.75</v>
      </c>
      <c r="E16" s="6" t="n">
        <f aca="false">IF(COUNT(C16,D16)=2,D16-C16,"")</f>
        <v>-282.75</v>
      </c>
    </row>
    <row r="17" customFormat="false" ht="15" hidden="false" customHeight="false" outlineLevel="0" collapsed="false">
      <c r="A17" s="4" t="n">
        <v>46247</v>
      </c>
      <c r="B17" s="5" t="s">
        <v>12</v>
      </c>
      <c r="C17" s="6" t="n">
        <v>1388.2</v>
      </c>
      <c r="D17" s="6" t="n">
        <v>1161.88</v>
      </c>
      <c r="E17" s="6" t="n">
        <f aca="false">IF(COUNT(C17,D17)=2,D17-C17,"")</f>
        <v>-226.32</v>
      </c>
    </row>
    <row r="18" customFormat="false" ht="15" hidden="false" customHeight="false" outlineLevel="0" collapsed="false">
      <c r="A18" s="4" t="n">
        <v>46248</v>
      </c>
      <c r="B18" s="5" t="s">
        <v>13</v>
      </c>
      <c r="C18" s="6" t="n">
        <v>1381.67</v>
      </c>
      <c r="D18" s="6" t="n">
        <v>1147.43</v>
      </c>
      <c r="E18" s="6" t="n">
        <f aca="false">IF(COUNT(C18,D18)=2,D18-C18,"")</f>
        <v>-234.24</v>
      </c>
    </row>
    <row r="19" customFormat="false" ht="15" hidden="false" customHeight="false" outlineLevel="0" collapsed="false">
      <c r="A19" s="4" t="n">
        <v>46249</v>
      </c>
      <c r="B19" s="5" t="s">
        <v>7</v>
      </c>
      <c r="C19" s="6" t="n">
        <v>1962.74</v>
      </c>
      <c r="D19" s="6" t="n">
        <v>1828.49</v>
      </c>
      <c r="E19" s="6" t="n">
        <f aca="false">IF(COUNT(C19,D19)=2,D19-C19,"")</f>
        <v>-134.25</v>
      </c>
    </row>
    <row r="20" customFormat="false" ht="15" hidden="false" customHeight="false" outlineLevel="0" collapsed="false">
      <c r="A20" s="4" t="n">
        <v>46250</v>
      </c>
      <c r="B20" s="5" t="s">
        <v>8</v>
      </c>
      <c r="C20" s="6" t="n">
        <v>1635.58</v>
      </c>
      <c r="D20" s="6" t="n">
        <v>1430.05</v>
      </c>
      <c r="E20" s="6" t="n">
        <f aca="false">IF(COUNT(C20,D20)=2,D20-C20,"")</f>
        <v>-205.53</v>
      </c>
    </row>
    <row r="21" customFormat="false" ht="15" hidden="false" customHeight="false" outlineLevel="0" collapsed="false">
      <c r="A21" s="4" t="n">
        <v>46251</v>
      </c>
      <c r="B21" s="5" t="s">
        <v>9</v>
      </c>
      <c r="C21" s="6" t="n">
        <v>1617.74</v>
      </c>
      <c r="D21" s="6" t="n">
        <v>1419.14</v>
      </c>
      <c r="E21" s="6" t="n">
        <f aca="false">IF(COUNT(C21,D21)=2,D21-C21,"")</f>
        <v>-198.6</v>
      </c>
    </row>
    <row r="22" customFormat="false" ht="15" hidden="false" customHeight="false" outlineLevel="0" collapsed="false">
      <c r="A22" s="4" t="n">
        <v>46252</v>
      </c>
      <c r="B22" s="5" t="s">
        <v>10</v>
      </c>
      <c r="C22" s="6" t="n">
        <v>1817.27</v>
      </c>
      <c r="D22" s="6" t="n">
        <v>1658.27</v>
      </c>
      <c r="E22" s="6" t="n">
        <f aca="false">IF(COUNT(C22,D22)=2,D22-C22,"")</f>
        <v>-159</v>
      </c>
    </row>
    <row r="23" customFormat="false" ht="15" hidden="false" customHeight="false" outlineLevel="0" collapsed="false">
      <c r="A23" s="4" t="n">
        <v>46253</v>
      </c>
      <c r="B23" s="5" t="s">
        <v>11</v>
      </c>
      <c r="C23" s="6" t="n">
        <v>1870.01</v>
      </c>
      <c r="D23" s="6" t="n">
        <v>1708.04</v>
      </c>
      <c r="E23" s="6" t="n">
        <f aca="false">IF(COUNT(C23,D23)=2,D23-C23,"")</f>
        <v>-161.97</v>
      </c>
    </row>
    <row r="24" customFormat="false" ht="15" hidden="false" customHeight="false" outlineLevel="0" collapsed="false">
      <c r="A24" s="4" t="n">
        <v>46254</v>
      </c>
      <c r="B24" s="5" t="s">
        <v>12</v>
      </c>
      <c r="C24" s="6" t="n">
        <v>1817.43</v>
      </c>
      <c r="D24" s="6" t="n">
        <v>1534.68</v>
      </c>
      <c r="E24" s="6" t="n">
        <f aca="false">IF(COUNT(C24,D24)=2,D24-C24,"")</f>
        <v>-282.75</v>
      </c>
    </row>
    <row r="25" customFormat="false" ht="15" hidden="false" customHeight="false" outlineLevel="0" collapsed="false">
      <c r="A25" s="4" t="n">
        <v>46255</v>
      </c>
      <c r="B25" s="5" t="s">
        <v>13</v>
      </c>
      <c r="C25" s="6" t="n">
        <v>1582.52</v>
      </c>
      <c r="D25" s="6" t="n">
        <v>1348.28</v>
      </c>
      <c r="E25" s="6" t="n">
        <f aca="false">IF(COUNT(C25,D25)=2,D25-C25,"")</f>
        <v>-234.24</v>
      </c>
    </row>
    <row r="26" customFormat="false" ht="15" hidden="false" customHeight="false" outlineLevel="0" collapsed="false">
      <c r="A26" s="4" t="n">
        <v>46256</v>
      </c>
      <c r="B26" s="5" t="s">
        <v>7</v>
      </c>
      <c r="C26" s="6" t="n">
        <v>1976.79</v>
      </c>
      <c r="D26" s="6" t="n">
        <v>1801.95</v>
      </c>
      <c r="E26" s="6" t="n">
        <f aca="false">IF(COUNT(C26,D26)=2,D26-C26,"")</f>
        <v>-174.84</v>
      </c>
    </row>
    <row r="27" customFormat="false" ht="15" hidden="false" customHeight="false" outlineLevel="0" collapsed="false">
      <c r="A27" s="4" t="n">
        <v>46257</v>
      </c>
      <c r="B27" s="5" t="s">
        <v>8</v>
      </c>
      <c r="C27" s="6" t="n">
        <v>1880.6</v>
      </c>
      <c r="D27" s="6" t="n">
        <v>1684.97</v>
      </c>
      <c r="E27" s="6" t="n">
        <f aca="false">IF(COUNT(C27,D27)=2,D27-C27,"")</f>
        <v>-195.63</v>
      </c>
    </row>
    <row r="28" customFormat="false" ht="15" hidden="false" customHeight="false" outlineLevel="0" collapsed="false">
      <c r="A28" s="4" t="n">
        <v>46258</v>
      </c>
      <c r="B28" s="5" t="s">
        <v>9</v>
      </c>
      <c r="C28" s="6" t="n">
        <v>2236.05</v>
      </c>
      <c r="D28" s="6" t="n">
        <v>2104.77</v>
      </c>
      <c r="E28" s="6" t="n">
        <f aca="false">IF(COUNT(C28,D28)=2,D28-C28,"")</f>
        <v>-131.28</v>
      </c>
    </row>
    <row r="29" customFormat="false" ht="15" hidden="false" customHeight="false" outlineLevel="0" collapsed="false">
      <c r="A29" s="4" t="n">
        <v>46259</v>
      </c>
      <c r="B29" s="5" t="s">
        <v>10</v>
      </c>
      <c r="C29" s="6" t="n">
        <v>2215.01</v>
      </c>
      <c r="D29" s="6" t="n">
        <v>2082.74</v>
      </c>
      <c r="E29" s="6" t="n">
        <f aca="false">IF(COUNT(C29,D29)=2,D29-C29,"")</f>
        <v>-132.27</v>
      </c>
    </row>
    <row r="30" customFormat="false" ht="15" hidden="false" customHeight="false" outlineLevel="0" collapsed="false">
      <c r="A30" s="4" t="n">
        <v>46260</v>
      </c>
      <c r="B30" s="5" t="s">
        <v>11</v>
      </c>
      <c r="C30" s="6" t="n">
        <v>2128.27</v>
      </c>
      <c r="D30" s="6" t="n">
        <v>1980.16</v>
      </c>
      <c r="E30" s="6" t="n">
        <f aca="false">IF(COUNT(C30,D30)=2,D30-C30,"")</f>
        <v>-148.11</v>
      </c>
    </row>
    <row r="31" customFormat="false" ht="15" hidden="false" customHeight="false" outlineLevel="0" collapsed="false">
      <c r="A31" s="4" t="n">
        <v>46261</v>
      </c>
      <c r="B31" s="5" t="s">
        <v>12</v>
      </c>
      <c r="C31" s="6" t="n">
        <v>1837.19</v>
      </c>
      <c r="D31" s="6" t="n">
        <v>1655.42</v>
      </c>
      <c r="E31" s="6" t="n">
        <f aca="false">IF(COUNT(C31,D31)=2,D31-C31,"")</f>
        <v>-181.77</v>
      </c>
    </row>
    <row r="32" customFormat="false" ht="15" hidden="false" customHeight="false" outlineLevel="0" collapsed="false">
      <c r="A32" s="4" t="n">
        <v>46262</v>
      </c>
      <c r="B32" s="5" t="s">
        <v>13</v>
      </c>
      <c r="C32" s="6" t="n">
        <v>1960.29</v>
      </c>
      <c r="D32" s="6" t="n">
        <v>1783.47</v>
      </c>
      <c r="E32" s="6" t="n">
        <f aca="false">IF(COUNT(C32,D32)=2,D32-C32,"")</f>
        <v>-176.82</v>
      </c>
    </row>
    <row r="33" customFormat="false" ht="15" hidden="false" customHeight="false" outlineLevel="0" collapsed="false">
      <c r="A33" s="4" t="n">
        <v>46263</v>
      </c>
      <c r="B33" s="5" t="s">
        <v>7</v>
      </c>
      <c r="C33" s="6" t="n">
        <v>1938.83</v>
      </c>
      <c r="D33" s="6" t="n">
        <v>1766.96</v>
      </c>
      <c r="E33" s="6" t="n">
        <f aca="false">IF(COUNT(C33,D33)=2,D33-C33,"")</f>
        <v>-171.87</v>
      </c>
    </row>
    <row r="34" customFormat="false" ht="15" hidden="false" customHeight="false" outlineLevel="0" collapsed="false">
      <c r="A34" s="4" t="n">
        <v>46264</v>
      </c>
      <c r="B34" s="5" t="s">
        <v>8</v>
      </c>
      <c r="C34" s="6" t="n">
        <v>1936.31</v>
      </c>
      <c r="D34" s="6" t="n">
        <v>1758.5</v>
      </c>
      <c r="E34" s="6" t="n">
        <f aca="false">IF(COUNT(C34,D34)=2,D34-C34,"")</f>
        <v>-177.81</v>
      </c>
    </row>
    <row r="35" customFormat="false" ht="15" hidden="false" customHeight="false" outlineLevel="0" collapsed="false">
      <c r="A35" s="4" t="n">
        <v>46265</v>
      </c>
      <c r="B35" s="5" t="s">
        <v>9</v>
      </c>
      <c r="C35" s="6" t="n">
        <v>1796.53</v>
      </c>
      <c r="D35" s="6" t="n">
        <v>1593.97</v>
      </c>
      <c r="E35" s="6" t="n">
        <f aca="false">IF(COUNT(C35,D35)=2,D35-C35,"")</f>
        <v>-202.56</v>
      </c>
    </row>
    <row r="36" customFormat="false" ht="15" hidden="false" customHeight="false" outlineLevel="0" collapsed="false">
      <c r="A36" s="7" t="s">
        <v>14</v>
      </c>
      <c r="B36" s="8"/>
      <c r="C36" s="9" t="n">
        <f aca="false">SUM(C5:C35)</f>
        <v>50714.51</v>
      </c>
      <c r="D36" s="9" t="n">
        <f aca="false">SUM(D5:D35)</f>
        <v>44653.94</v>
      </c>
      <c r="E36" s="9" t="n">
        <f aca="false">SUM(E5:E35)</f>
        <v>-6060.57</v>
      </c>
    </row>
    <row r="37" customFormat="false" ht="15" hidden="false" customHeight="false" outlineLevel="0" collapsed="false">
      <c r="A37" s="10" t="s">
        <v>15</v>
      </c>
      <c r="B37" s="11"/>
      <c r="C37" s="12" t="str">
        <f aca="false">COUNT(C5:C35) &amp; " of 31 due"</f>
        <v>31 of 31 due</v>
      </c>
      <c r="D37" s="11"/>
      <c r="E37" s="11"/>
    </row>
    <row r="39" customFormat="false" ht="15" hidden="false" customHeight="false" outlineLevel="0" collapsed="false">
      <c r="A39" s="13" t="s">
        <v>16</v>
      </c>
    </row>
    <row r="40" customFormat="false" ht="15" hidden="false" customHeight="false" outlineLevel="0" collapsed="false">
      <c r="A40" s="14" t="s">
        <v>17</v>
      </c>
    </row>
    <row r="41" customFormat="false" ht="15" hidden="false" customHeight="false" outlineLevel="0" collapsed="false">
      <c r="A41" s="14" t="s">
        <v>18</v>
      </c>
    </row>
    <row r="42" customFormat="false" ht="15" hidden="false" customHeight="false" outlineLevel="0" collapsed="false">
      <c r="A42" s="14" t="s">
        <v>19</v>
      </c>
    </row>
    <row r="43" customFormat="false" ht="15" hidden="false" customHeight="false" outlineLevel="0" collapsed="false">
      <c r="A43" s="14" t="s">
        <v>20</v>
      </c>
    </row>
    <row r="44" customFormat="false" ht="15" hidden="false" customHeight="false" outlineLevel="0" collapsed="false">
      <c r="A44" s="1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2026-08-31T00:00:00Z</dcterms:created>
  <dc:creator>openpyxl</dc:creator>
  <dc:description/>
  <dc:language>en-US</dc:language>
  <cp:lastModifiedBy/>
  <dcterms:modified xsi:type="dcterms:W3CDTF">2026-08-31T00:00:00Z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