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Jun 2026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<sst xmlns="http://schemas.openxmlformats.org/spreadsheetml/2006/main" count="75" uniqueCount="25">
  <si>
    <t xml:space="preserve">IFFCO Kalol — Daily Net Generation</t>
  </si>
  <si>
    <t xml:space="preserve">June 2026 · IFFCO Kalol, Gujarat, India · plant and township</t>
  </si>
  <si>
    <t xml:space="preserve">Date</t>
  </si>
  <si>
    <t xml:space="preserve">Day</t>
  </si>
  <si>
    <t xml:space="preserve">Net kWh (as printed in report)</t>
  </si>
  <si>
    <t xml:space="preserve">Net kWh (sum of site columns)</t>
  </si>
  <si>
    <t xml:space="preserve">Difference</t>
  </si>
  <si>
    <t xml:space="preserve">Mon</t>
  </si>
  <si>
    <t xml:space="preserve">before records</t>
  </si>
  <si>
    <t xml:space="preserve">Tue</t>
  </si>
  <si>
    <t xml:space="preserve">Wed</t>
  </si>
  <si>
    <t xml:space="preserve">Thu</t>
  </si>
  <si>
    <t xml:space="preserve">Fri</t>
  </si>
  <si>
    <t xml:space="preserve">Sat</t>
  </si>
  <si>
    <t xml:space="preserve">Sun</t>
  </si>
  <si>
    <t xml:space="preserve">no report</t>
  </si>
  <si>
    <t xml:space="preserve">Month total</t>
  </si>
  <si>
    <t xml:space="preserve">Days reported</t>
  </si>
  <si>
    <t xml:space="preserve">Notes</t>
  </si>
  <si>
    <t xml:space="preserve">• “As printed” is the TOTAL NET GENERATION cell of the daily inverter report, i.e. the figure the plant circulates.</t>
  </si>
  <si>
    <t xml:space="preserve">• “Sum of site columns” adds the individual site readings in the same sheet.</t>
  </si>
  <si>
    <t xml:space="preserve">• The two disagree every day. The printed plant total leaves out the MPSS &amp; MCC 13-16 column, and the printed net total adds a flat 387.60 kWh that does not come from any column.</t>
  </si>
  <si>
    <t xml:space="preserve">• Figures are reproduced exactly as the daily report gave them; nothing is corrected here.</t>
  </si>
  <si>
    <t xml:space="preserve">• No report arrived on 1 day(s): 30 Jun.</t>
  </si>
  <si>
    <t xml:space="preserve">• Generated from data/processed/generation_daily.csv.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</si>
</sst>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dd\-mmm\-yyyy"/>
    <numFmt numFmtId="166" formatCode="#,##0.00;\-#,##0.00;\–"/>
  </numFmts>
  <fonts count="1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F3864"/>
      <name val="Arial"/>
      <family val="0"/>
      <charset val="1"/>
    </font>
    <font>
      <sz val="10"/>
      <color rgb="FF595959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  <font>
      <i val="true"/>
      <sz val="9"/>
      <color rgb="FFA6A6A6"/>
      <name val="Arial"/>
      <family val="0"/>
      <charset val="1"/>
    </font>
    <font>
      <i val="true"/>
      <sz val="9"/>
      <color rgb="FFC0392B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9"/>
      <color rgb="FF1F3864"/>
      <name val="Arial"/>
      <family val="0"/>
      <charset val="1"/>
    </font>
    <font>
      <sz val="9"/>
      <color rgb="FF595959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FBE9E7"/>
        <bgColor rgb="FFE8EDF5"/>
      </patternFill>
    </fill>
    <fill>
      <patternFill patternType="solid">
        <fgColor rgb="FFE8EDF5"/>
        <bgColor rgb="FFFBE9E7"/>
      </patternFill>
    </fill>
  </fills>
  <borders count="4">
    <border diagonalUp="false" diagonalDown="false">
      <left/>
      <right/>
      <top/>
      <bottom/>
      <diagonal/>
    </border>
    <border diagonalUp="false" diagonalDown="false">
      <left/>
      <right/>
      <top/>
      <bottom style="medium">
        <color rgb="FF1F3864"/>
      </bottom>
      <diagonal/>
    </border>
    <border diagonalUp="false" diagonalDown="false">
      <left/>
      <right/>
      <top/>
      <bottom style="thin">
        <color rgb="FFBFBFBF"/>
      </bottom>
      <diagonal/>
    </border>
    <border diagonalUp="false" diagonalDown="false">
      <left/>
      <right/>
      <top style="medium">
        <color rgb="FF1F3864"/>
      </top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7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8" fillId="0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7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" fillId="3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3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9" fillId="3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7" fillId="3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4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4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0" fillId="4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4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BE9E7"/>
      <rgbColor rgb="FFE8EDF5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A6A6A6"/>
      <rgbColor rgb="FF1F3864"/>
      <rgbColor rgb="FF339966"/>
      <rgbColor rgb="FF003300"/>
      <rgbColor rgb="FF333300"/>
      <rgbColor rgb="FFC0392B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44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3"/>
    <col collapsed="false" customWidth="true" hidden="false" outlineLevel="0" max="2" min="2" style="0" width="7"/>
    <col collapsed="false" customWidth="true" hidden="false" outlineLevel="0" max="4" min="3" style="0" width="28"/>
    <col collapsed="false" customWidth="true" hidden="false" outlineLevel="0" max="5" min="5" style="0" width="13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30" hidden="false" customHeight="true" outlineLevel="0" collapsed="false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</row>
    <row r="5" customFormat="false" ht="15" hidden="false" customHeight="false" outlineLevel="0" collapsed="false">
      <c r="A5" s="4" t="n">
        <v>46174</v>
      </c>
      <c r="B5" s="5" t="s">
        <v>7</v>
      </c>
      <c r="C5" s="6" t="s">
        <v>8</v>
      </c>
      <c r="D5" s="7"/>
      <c r="E5" s="7" t="str">
        <f aca="false">IF(COUNT(C5,D5)=2,D5-C5,"")</f>
        <v/>
      </c>
    </row>
    <row r="6" customFormat="false" ht="15" hidden="false" customHeight="false" outlineLevel="0" collapsed="false">
      <c r="A6" s="4" t="n">
        <v>46175</v>
      </c>
      <c r="B6" s="5" t="s">
        <v>9</v>
      </c>
      <c r="C6" s="6" t="s">
        <v>8</v>
      </c>
      <c r="D6" s="7"/>
      <c r="E6" s="7" t="str">
        <f aca="false">IF(COUNT(C6,D6)=2,D6-C6,"")</f>
        <v/>
      </c>
    </row>
    <row r="7" customFormat="false" ht="15" hidden="false" customHeight="false" outlineLevel="0" collapsed="false">
      <c r="A7" s="4" t="n">
        <v>46176</v>
      </c>
      <c r="B7" s="5" t="s">
        <v>10</v>
      </c>
      <c r="C7" s="6" t="s">
        <v>8</v>
      </c>
      <c r="D7" s="7"/>
      <c r="E7" s="7" t="str">
        <f aca="false">IF(COUNT(C7,D7)=2,D7-C7,"")</f>
        <v/>
      </c>
    </row>
    <row r="8" customFormat="false" ht="15" hidden="false" customHeight="false" outlineLevel="0" collapsed="false">
      <c r="A8" s="4" t="n">
        <v>46177</v>
      </c>
      <c r="B8" s="5" t="s">
        <v>11</v>
      </c>
      <c r="C8" s="6" t="s">
        <v>8</v>
      </c>
      <c r="D8" s="7"/>
      <c r="E8" s="7" t="str">
        <f aca="false">IF(COUNT(C8,D8)=2,D8-C8,"")</f>
        <v/>
      </c>
    </row>
    <row r="9" customFormat="false" ht="15" hidden="false" customHeight="false" outlineLevel="0" collapsed="false">
      <c r="A9" s="4" t="n">
        <v>46178</v>
      </c>
      <c r="B9" s="5" t="s">
        <v>12</v>
      </c>
      <c r="C9" s="6" t="s">
        <v>8</v>
      </c>
      <c r="D9" s="7"/>
      <c r="E9" s="7" t="str">
        <f aca="false">IF(COUNT(C9,D9)=2,D9-C9,"")</f>
        <v/>
      </c>
    </row>
    <row r="10" customFormat="false" ht="15" hidden="false" customHeight="false" outlineLevel="0" collapsed="false">
      <c r="A10" s="4" t="n">
        <v>46179</v>
      </c>
      <c r="B10" s="5" t="s">
        <v>13</v>
      </c>
      <c r="C10" s="6" t="s">
        <v>8</v>
      </c>
      <c r="D10" s="7"/>
      <c r="E10" s="7" t="str">
        <f aca="false">IF(COUNT(C10,D10)=2,D10-C10,"")</f>
        <v/>
      </c>
    </row>
    <row r="11" customFormat="false" ht="15" hidden="false" customHeight="false" outlineLevel="0" collapsed="false">
      <c r="A11" s="4" t="n">
        <v>46180</v>
      </c>
      <c r="B11" s="5" t="s">
        <v>14</v>
      </c>
      <c r="C11" s="6" t="s">
        <v>8</v>
      </c>
      <c r="D11" s="7"/>
      <c r="E11" s="7" t="str">
        <f aca="false">IF(COUNT(C11,D11)=2,D11-C11,"")</f>
        <v/>
      </c>
    </row>
    <row r="12" customFormat="false" ht="15" hidden="false" customHeight="false" outlineLevel="0" collapsed="false">
      <c r="A12" s="4" t="n">
        <v>46181</v>
      </c>
      <c r="B12" s="5" t="s">
        <v>7</v>
      </c>
      <c r="C12" s="6" t="s">
        <v>8</v>
      </c>
      <c r="D12" s="7"/>
      <c r="E12" s="7" t="str">
        <f aca="false">IF(COUNT(C12,D12)=2,D12-C12,"")</f>
        <v/>
      </c>
    </row>
    <row r="13" customFormat="false" ht="15" hidden="false" customHeight="false" outlineLevel="0" collapsed="false">
      <c r="A13" s="4" t="n">
        <v>46182</v>
      </c>
      <c r="B13" s="5" t="s">
        <v>9</v>
      </c>
      <c r="C13" s="6" t="s">
        <v>8</v>
      </c>
      <c r="D13" s="7"/>
      <c r="E13" s="7" t="str">
        <f aca="false">IF(COUNT(C13,D13)=2,D13-C13,"")</f>
        <v/>
      </c>
    </row>
    <row r="14" customFormat="false" ht="15" hidden="false" customHeight="false" outlineLevel="0" collapsed="false">
      <c r="A14" s="4" t="n">
        <v>46183</v>
      </c>
      <c r="B14" s="5" t="s">
        <v>10</v>
      </c>
      <c r="C14" s="6" t="s">
        <v>8</v>
      </c>
      <c r="D14" s="7"/>
      <c r="E14" s="7" t="str">
        <f aca="false">IF(COUNT(C14,D14)=2,D14-C14,"")</f>
        <v/>
      </c>
    </row>
    <row r="15" customFormat="false" ht="15" hidden="false" customHeight="false" outlineLevel="0" collapsed="false">
      <c r="A15" s="4" t="n">
        <v>46184</v>
      </c>
      <c r="B15" s="5" t="s">
        <v>11</v>
      </c>
      <c r="C15" s="6" t="s">
        <v>8</v>
      </c>
      <c r="D15" s="7"/>
      <c r="E15" s="7" t="str">
        <f aca="false">IF(COUNT(C15,D15)=2,D15-C15,"")</f>
        <v/>
      </c>
    </row>
    <row r="16" customFormat="false" ht="15" hidden="false" customHeight="false" outlineLevel="0" collapsed="false">
      <c r="A16" s="4" t="n">
        <v>46185</v>
      </c>
      <c r="B16" s="5" t="s">
        <v>12</v>
      </c>
      <c r="C16" s="6" t="s">
        <v>8</v>
      </c>
      <c r="D16" s="7"/>
      <c r="E16" s="7" t="str">
        <f aca="false">IF(COUNT(C16,D16)=2,D16-C16,"")</f>
        <v/>
      </c>
    </row>
    <row r="17" customFormat="false" ht="15" hidden="false" customHeight="false" outlineLevel="0" collapsed="false">
      <c r="A17" s="4" t="n">
        <v>46186</v>
      </c>
      <c r="B17" s="5" t="s">
        <v>13</v>
      </c>
      <c r="C17" s="6" t="s">
        <v>8</v>
      </c>
      <c r="D17" s="7"/>
      <c r="E17" s="7" t="str">
        <f aca="false">IF(COUNT(C17,D17)=2,D17-C17,"")</f>
        <v/>
      </c>
    </row>
    <row r="18" customFormat="false" ht="15" hidden="false" customHeight="false" outlineLevel="0" collapsed="false">
      <c r="A18" s="4" t="n">
        <v>46187</v>
      </c>
      <c r="B18" s="5" t="s">
        <v>14</v>
      </c>
      <c r="C18" s="6" t="s">
        <v>8</v>
      </c>
      <c r="D18" s="7"/>
      <c r="E18" s="7" t="str">
        <f aca="false">IF(COUNT(C18,D18)=2,D18-C18,"")</f>
        <v/>
      </c>
    </row>
    <row r="19" customFormat="false" ht="15" hidden="false" customHeight="false" outlineLevel="0" collapsed="false">
      <c r="A19" s="4" t="n">
        <v>46188</v>
      </c>
      <c r="B19" s="5" t="s">
        <v>7</v>
      </c>
      <c r="C19" s="6" t="s">
        <v>8</v>
      </c>
      <c r="D19" s="7"/>
      <c r="E19" s="7" t="str">
        <f aca="false">IF(COUNT(C19,D19)=2,D19-C19,"")</f>
        <v/>
      </c>
    </row>
    <row r="20" customFormat="false" ht="15" hidden="false" customHeight="false" outlineLevel="0" collapsed="false">
      <c r="A20" s="4" t="n">
        <v>46189</v>
      </c>
      <c r="B20" s="5" t="s">
        <v>9</v>
      </c>
      <c r="C20" s="6" t="s">
        <v>8</v>
      </c>
      <c r="D20" s="7"/>
      <c r="E20" s="7" t="str">
        <f aca="false">IF(COUNT(C20,D20)=2,D20-C20,"")</f>
        <v/>
      </c>
    </row>
    <row r="21" customFormat="false" ht="15" hidden="false" customHeight="false" outlineLevel="0" collapsed="false">
      <c r="A21" s="4" t="n">
        <v>46190</v>
      </c>
      <c r="B21" s="5" t="s">
        <v>10</v>
      </c>
      <c r="C21" s="6" t="s">
        <v>8</v>
      </c>
      <c r="D21" s="7"/>
      <c r="E21" s="7" t="str">
        <f aca="false">IF(COUNT(C21,D21)=2,D21-C21,"")</f>
        <v/>
      </c>
    </row>
    <row r="22" customFormat="false" ht="15" hidden="false" customHeight="false" outlineLevel="0" collapsed="false">
      <c r="A22" s="4" t="n">
        <v>46191</v>
      </c>
      <c r="B22" s="5" t="s">
        <v>11</v>
      </c>
      <c r="C22" s="6" t="s">
        <v>8</v>
      </c>
      <c r="D22" s="7"/>
      <c r="E22" s="7" t="str">
        <f aca="false">IF(COUNT(C22,D22)=2,D22-C22,"")</f>
        <v/>
      </c>
    </row>
    <row r="23" customFormat="false" ht="15" hidden="false" customHeight="false" outlineLevel="0" collapsed="false">
      <c r="A23" s="4" t="n">
        <v>46192</v>
      </c>
      <c r="B23" s="5" t="s">
        <v>12</v>
      </c>
      <c r="C23" s="6" t="s">
        <v>8</v>
      </c>
      <c r="D23" s="7"/>
      <c r="E23" s="7" t="str">
        <f aca="false">IF(COUNT(C23,D23)=2,D23-C23,"")</f>
        <v/>
      </c>
    </row>
    <row r="24" customFormat="false" ht="15" hidden="false" customHeight="false" outlineLevel="0" collapsed="false">
      <c r="A24" s="4" t="n">
        <v>46193</v>
      </c>
      <c r="B24" s="5" t="s">
        <v>13</v>
      </c>
      <c r="C24" s="6" t="s">
        <v>8</v>
      </c>
      <c r="D24" s="7"/>
      <c r="E24" s="7" t="str">
        <f aca="false">IF(COUNT(C24,D24)=2,D24-C24,"")</f>
        <v/>
      </c>
    </row>
    <row r="25" customFormat="false" ht="15" hidden="false" customHeight="false" outlineLevel="0" collapsed="false">
      <c r="A25" s="4" t="n">
        <v>46194</v>
      </c>
      <c r="B25" s="5" t="s">
        <v>14</v>
      </c>
      <c r="C25" s="6" t="s">
        <v>8</v>
      </c>
      <c r="D25" s="7"/>
      <c r="E25" s="7" t="str">
        <f aca="false">IF(COUNT(C25,D25)=2,D25-C25,"")</f>
        <v/>
      </c>
    </row>
    <row r="26" customFormat="false" ht="15" hidden="false" customHeight="false" outlineLevel="0" collapsed="false">
      <c r="A26" s="4" t="n">
        <v>46195</v>
      </c>
      <c r="B26" s="5" t="s">
        <v>7</v>
      </c>
      <c r="C26" s="6" t="s">
        <v>8</v>
      </c>
      <c r="D26" s="7"/>
      <c r="E26" s="7" t="str">
        <f aca="false">IF(COUNT(C26,D26)=2,D26-C26,"")</f>
        <v/>
      </c>
    </row>
    <row r="27" customFormat="false" ht="15" hidden="false" customHeight="false" outlineLevel="0" collapsed="false">
      <c r="A27" s="4" t="n">
        <v>46196</v>
      </c>
      <c r="B27" s="5" t="s">
        <v>9</v>
      </c>
      <c r="C27" s="6" t="s">
        <v>8</v>
      </c>
      <c r="D27" s="7"/>
      <c r="E27" s="7" t="str">
        <f aca="false">IF(COUNT(C27,D27)=2,D27-C27,"")</f>
        <v/>
      </c>
    </row>
    <row r="28" customFormat="false" ht="15" hidden="false" customHeight="false" outlineLevel="0" collapsed="false">
      <c r="A28" s="4" t="n">
        <v>46197</v>
      </c>
      <c r="B28" s="5" t="s">
        <v>10</v>
      </c>
      <c r="C28" s="6" t="s">
        <v>8</v>
      </c>
      <c r="D28" s="7"/>
      <c r="E28" s="7" t="str">
        <f aca="false">IF(COUNT(C28,D28)=2,D28-C28,"")</f>
        <v/>
      </c>
    </row>
    <row r="29" customFormat="false" ht="15" hidden="false" customHeight="false" outlineLevel="0" collapsed="false">
      <c r="A29" s="4" t="n">
        <v>46198</v>
      </c>
      <c r="B29" s="5" t="s">
        <v>11</v>
      </c>
      <c r="C29" s="6" t="s">
        <v>8</v>
      </c>
      <c r="D29" s="7"/>
      <c r="E29" s="7" t="str">
        <f aca="false">IF(COUNT(C29,D29)=2,D29-C29,"")</f>
        <v/>
      </c>
    </row>
    <row r="30" customFormat="false" ht="15" hidden="false" customHeight="false" outlineLevel="0" collapsed="false">
      <c r="A30" s="4" t="n">
        <v>46199</v>
      </c>
      <c r="B30" s="5" t="s">
        <v>12</v>
      </c>
      <c r="C30" s="6" t="s">
        <v>8</v>
      </c>
      <c r="D30" s="7"/>
      <c r="E30" s="7" t="str">
        <f aca="false">IF(COUNT(C30,D30)=2,D30-C30,"")</f>
        <v/>
      </c>
    </row>
    <row r="31" customFormat="false" ht="15" hidden="false" customHeight="false" outlineLevel="0" collapsed="false">
      <c r="A31" s="4" t="n">
        <v>46200</v>
      </c>
      <c r="B31" s="5" t="s">
        <v>13</v>
      </c>
      <c r="C31" s="6" t="s">
        <v>8</v>
      </c>
      <c r="D31" s="7"/>
      <c r="E31" s="7" t="str">
        <f aca="false">IF(COUNT(C31,D31)=2,D31-C31,"")</f>
        <v/>
      </c>
    </row>
    <row r="32" customFormat="false" ht="15" hidden="false" customHeight="false" outlineLevel="0" collapsed="false">
      <c r="A32" s="4" t="n">
        <v>46201</v>
      </c>
      <c r="B32" s="5" t="s">
        <v>14</v>
      </c>
      <c r="C32" s="6" t="s">
        <v>8</v>
      </c>
      <c r="D32" s="7"/>
      <c r="E32" s="7" t="str">
        <f aca="false">IF(COUNT(C32,D32)=2,D32-C32,"")</f>
        <v/>
      </c>
    </row>
    <row r="33" customFormat="false" ht="15" hidden="false" customHeight="false" outlineLevel="0" collapsed="false">
      <c r="A33" s="4" t="n">
        <v>46202</v>
      </c>
      <c r="B33" s="5" t="s">
        <v>7</v>
      </c>
      <c r="C33" s="7" t="n">
        <v>1498.52</v>
      </c>
      <c r="D33" s="7" t="n">
        <v>1373.18</v>
      </c>
      <c r="E33" s="7" t="n">
        <f aca="false">IF(COUNT(C33,D33)=2,D33-C33,"")</f>
        <v>-125.34</v>
      </c>
    </row>
    <row r="34" customFormat="false" ht="15" hidden="false" customHeight="false" outlineLevel="0" collapsed="false">
      <c r="A34" s="8" t="n">
        <v>46203</v>
      </c>
      <c r="B34" s="9" t="s">
        <v>9</v>
      </c>
      <c r="C34" s="10" t="s">
        <v>15</v>
      </c>
      <c r="D34" s="11"/>
      <c r="E34" s="11" t="str">
        <f aca="false">IF(COUNT(C34,D34)=2,D34-C34,"")</f>
        <v/>
      </c>
    </row>
    <row r="35" customFormat="false" ht="15" hidden="false" customHeight="false" outlineLevel="0" collapsed="false">
      <c r="A35" s="12" t="s">
        <v>16</v>
      </c>
      <c r="B35" s="13"/>
      <c r="C35" s="14" t="n">
        <f aca="false">SUM(C5:C34)</f>
        <v>1498.52</v>
      </c>
      <c r="D35" s="14" t="n">
        <f aca="false">SUM(D5:D34)</f>
        <v>1373.18</v>
      </c>
      <c r="E35" s="14" t="n">
        <f aca="false">SUM(E5:E34)</f>
        <v>-125.34</v>
      </c>
    </row>
    <row r="36" customFormat="false" ht="15" hidden="false" customHeight="false" outlineLevel="0" collapsed="false">
      <c r="A36" s="15" t="s">
        <v>17</v>
      </c>
      <c r="B36" s="16"/>
      <c r="C36" s="17" t="str">
        <f aca="false">COUNT(C5:C34) &amp; " of 2 due"</f>
        <v>1 of 2 due</v>
      </c>
      <c r="D36" s="16"/>
      <c r="E36" s="16"/>
    </row>
    <row r="38" customFormat="false" ht="15" hidden="false" customHeight="false" outlineLevel="0" collapsed="false">
      <c r="A38" s="18" t="s">
        <v>18</v>
      </c>
    </row>
    <row r="39" customFormat="false" ht="15" hidden="false" customHeight="false" outlineLevel="0" collapsed="false">
      <c r="A39" s="19" t="s">
        <v>19</v>
      </c>
    </row>
    <row r="40" customFormat="false" ht="15" hidden="false" customHeight="false" outlineLevel="0" collapsed="false">
      <c r="A40" s="19" t="s">
        <v>20</v>
      </c>
    </row>
    <row r="41" customFormat="false" ht="15" hidden="false" customHeight="false" outlineLevel="0" collapsed="false">
      <c r="A41" s="19" t="s">
        <v>21</v>
      </c>
    </row>
    <row r="42" customFormat="false" ht="15" hidden="false" customHeight="false" outlineLevel="0" collapsed="false">
      <c r="A42" s="19" t="s">
        <v>22</v>
      </c>
    </row>
    <row r="43" customFormat="false" ht="15" hidden="false" customHeight="false" outlineLevel="0" collapsed="false">
      <c r="A43" s="19" t="s">
        <v>23</v>
      </c>
    </row>
    <row r="44" customFormat="false" ht="15" hidden="false" customHeight="false" outlineLevel="0" collapsed="false">
      <c r="A44" s="19" t="s">
        <v>24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2026-06-29T00:00:00Z</dcterms:created>
  <dc:creator>openpyxl</dc:creator>
  <dc:description/>
  <dc:language>en-US</dc:language>
  <cp:lastModifiedBy/>
  <dcterms:modified xsi:type="dcterms:W3CDTF">2026-06-29T00:00:00Z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