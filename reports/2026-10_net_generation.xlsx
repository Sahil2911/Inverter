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ct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<sst xmlns="http://schemas.openxmlformats.org/spreadsheetml/2006/main" count="54" uniqueCount="25">
  <si>
    <t xml:space="preserve">IFFCO Kalol — Daily Net Generation</t>
  </si>
  <si>
    <t xml:space="preserve">October 2026 · IFFCO Kalol, Gujarat, India · plant and township</t>
  </si>
  <si>
    <t xml:space="preserve">Date</t>
  </si>
  <si>
    <t xml:space="preserve">Day</t>
  </si>
  <si>
    <t xml:space="preserve">Net kWh (as printed in report)</t>
  </si>
  <si>
    <t xml:space="preserve">Net kWh (sum of site columns)</t>
  </si>
  <si>
    <t xml:space="preserve">Difference</t>
  </si>
  <si>
    <t xml:space="preserve">Thu</t>
  </si>
  <si>
    <t xml:space="preserve">no report</t>
  </si>
  <si>
    <t xml:space="preserve">Fri</t>
  </si>
  <si>
    <t xml:space="preserve">Sat</t>
  </si>
  <si>
    <t xml:space="preserve">Sun</t>
  </si>
  <si>
    <t xml:space="preserve">Mon</t>
  </si>
  <si>
    <t xml:space="preserve">Tue</t>
  </si>
  <si>
    <t xml:space="preserve">Wed</t>
  </si>
  <si>
    <t xml:space="preserve">not due yet</t>
  </si>
  <si>
    <t xml:space="preserve">Month total</t>
  </si>
  <si>
    <t xml:space="preserve">Days reported</t>
  </si>
  <si>
    <t xml:space="preserve">Notes</t>
  </si>
  <si>
    <t xml:space="preserve">• “As printed” is the TOTAL NET GENERATION cell of the daily inverter report, i.e. the figure the plant circulates.</t>
  </si>
  <si>
    <t xml:space="preserve">• “Sum of site columns” adds the individual site readings in the same sheet.</t>
  </si>
  <si>
    <t xml:space="preserve">• The two disagree every day. The printed plant total leaves out the MPSS &amp; MCC 13-16 column, and the printed net total adds a flat 387.60 kWh that does not come from any column.</t>
  </si>
  <si>
    <t xml:space="preserve">• Figures are reproduced exactly as the daily report gave them; nothing is corrected here.</t>
  </si>
  <si>
    <t xml:space="preserve">• No report arrived on 6 day(s): 01 Oct, 02 Oct, 03 Oct, 04 Oct, 05 Oct, 13 Oct.</t>
  </si>
  <si>
    <t xml:space="preserve">• Generated from data/processed/generation_daily.csv.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</si>
</sst>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#,##0.00;\-#,##0.00;\–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C0392B"/>
      <name val="Arial"/>
      <family val="0"/>
      <charset val="1"/>
    </font>
    <font>
      <i val="true"/>
      <sz val="9"/>
      <color rgb="FFA6A6A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BE9E7"/>
        <bgColor rgb="FFE8EDF5"/>
      </patternFill>
    </fill>
    <fill>
      <patternFill patternType="solid">
        <fgColor rgb="FFE8EDF5"/>
        <bgColor rgb="FFFBE9E7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 style="medium">
        <color rgb="FF1F3864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BE9E7"/>
      <rgbColor rgb="FFE8ED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7"/>
    <col collapsed="false" customWidth="true" hidden="false" outlineLevel="0" max="4" min="3" style="0" width="28"/>
    <col collapsed="false" customWidth="true" hidden="false" outlineLevel="0" max="5" min="5" style="0" width="13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15" hidden="false" customHeight="false" outlineLevel="0" collapsed="false">
      <c r="A5" s="4" t="n">
        <v>46296</v>
      </c>
      <c r="B5" s="5" t="s">
        <v>7</v>
      </c>
      <c r="C5" s="6" t="s">
        <v>8</v>
      </c>
      <c r="D5" s="7"/>
      <c r="E5" s="7" t="str">
        <f aca="false">IF(COUNT(C5,D5)=2,D5-C5,"")</f>
        <v/>
      </c>
    </row>
    <row r="6" customFormat="false" ht="15" hidden="false" customHeight="false" outlineLevel="0" collapsed="false">
      <c r="A6" s="4" t="n">
        <v>46297</v>
      </c>
      <c r="B6" s="5" t="s">
        <v>9</v>
      </c>
      <c r="C6" s="6" t="s">
        <v>8</v>
      </c>
      <c r="D6" s="7"/>
      <c r="E6" s="7" t="str">
        <f aca="false">IF(COUNT(C6,D6)=2,D6-C6,"")</f>
        <v/>
      </c>
    </row>
    <row r="7" customFormat="false" ht="15" hidden="false" customHeight="false" outlineLevel="0" collapsed="false">
      <c r="A7" s="4" t="n">
        <v>46298</v>
      </c>
      <c r="B7" s="5" t="s">
        <v>10</v>
      </c>
      <c r="C7" s="6" t="s">
        <v>8</v>
      </c>
      <c r="D7" s="7"/>
      <c r="E7" s="7" t="str">
        <f aca="false">IF(COUNT(C7,D7)=2,D7-C7,"")</f>
        <v/>
      </c>
    </row>
    <row r="8" customFormat="false" ht="15" hidden="false" customHeight="false" outlineLevel="0" collapsed="false">
      <c r="A8" s="4" t="n">
        <v>46299</v>
      </c>
      <c r="B8" s="5" t="s">
        <v>11</v>
      </c>
      <c r="C8" s="6" t="s">
        <v>8</v>
      </c>
      <c r="D8" s="7"/>
      <c r="E8" s="7" t="str">
        <f aca="false">IF(COUNT(C8,D8)=2,D8-C8,"")</f>
        <v/>
      </c>
    </row>
    <row r="9" customFormat="false" ht="15" hidden="false" customHeight="false" outlineLevel="0" collapsed="false">
      <c r="A9" s="4" t="n">
        <v>46300</v>
      </c>
      <c r="B9" s="5" t="s">
        <v>12</v>
      </c>
      <c r="C9" s="6" t="s">
        <v>8</v>
      </c>
      <c r="D9" s="7"/>
      <c r="E9" s="7" t="str">
        <f aca="false">IF(COUNT(C9,D9)=2,D9-C9,"")</f>
        <v/>
      </c>
    </row>
    <row r="10" customFormat="false" ht="15" hidden="false" customHeight="false" outlineLevel="0" collapsed="false">
      <c r="A10" s="8" t="n">
        <v>46301</v>
      </c>
      <c r="B10" s="9" t="s">
        <v>13</v>
      </c>
      <c r="C10" s="10" t="n">
        <v>2364.33</v>
      </c>
      <c r="D10" s="10" t="n">
        <v>2239.98</v>
      </c>
      <c r="E10" s="10" t="n">
        <f aca="false">IF(COUNT(C10,D10)=2,D10-C10,"")</f>
        <v>-124.35</v>
      </c>
    </row>
    <row r="11" customFormat="false" ht="15" hidden="false" customHeight="false" outlineLevel="0" collapsed="false">
      <c r="A11" s="8" t="n">
        <v>46302</v>
      </c>
      <c r="B11" s="9" t="s">
        <v>14</v>
      </c>
      <c r="C11" s="10" t="n">
        <v>2283.68</v>
      </c>
      <c r="D11" s="10" t="n">
        <v>2145.47</v>
      </c>
      <c r="E11" s="10" t="n">
        <f aca="false">IF(COUNT(C11,D11)=2,D11-C11,"")</f>
        <v>-138.21</v>
      </c>
    </row>
    <row r="12" customFormat="false" ht="15" hidden="false" customHeight="false" outlineLevel="0" collapsed="false">
      <c r="A12" s="8" t="n">
        <v>46303</v>
      </c>
      <c r="B12" s="9" t="s">
        <v>7</v>
      </c>
      <c r="C12" s="10" t="n">
        <v>2420.2</v>
      </c>
      <c r="D12" s="10" t="n">
        <v>2301.79</v>
      </c>
      <c r="E12" s="10" t="n">
        <f aca="false">IF(COUNT(C12,D12)=2,D12-C12,"")</f>
        <v>-118.41</v>
      </c>
    </row>
    <row r="13" customFormat="false" ht="15" hidden="false" customHeight="false" outlineLevel="0" collapsed="false">
      <c r="A13" s="8" t="n">
        <v>46304</v>
      </c>
      <c r="B13" s="9" t="s">
        <v>9</v>
      </c>
      <c r="C13" s="10" t="n">
        <v>2427.84</v>
      </c>
      <c r="D13" s="10" t="n">
        <v>2312.4</v>
      </c>
      <c r="E13" s="10" t="n">
        <f aca="false">IF(COUNT(C13,D13)=2,D13-C13,"")</f>
        <v>-115.44</v>
      </c>
    </row>
    <row r="14" customFormat="false" ht="15" hidden="false" customHeight="false" outlineLevel="0" collapsed="false">
      <c r="A14" s="8" t="n">
        <v>46305</v>
      </c>
      <c r="B14" s="9" t="s">
        <v>10</v>
      </c>
      <c r="C14" s="10" t="n">
        <v>2463.49</v>
      </c>
      <c r="D14" s="10" t="n">
        <v>2350.03</v>
      </c>
      <c r="E14" s="10" t="n">
        <f aca="false">IF(COUNT(C14,D14)=2,D14-C14,"")</f>
        <v>-113.46</v>
      </c>
    </row>
    <row r="15" customFormat="false" ht="15" hidden="false" customHeight="false" outlineLevel="0" collapsed="false">
      <c r="A15" s="8" t="n">
        <v>46306</v>
      </c>
      <c r="B15" s="9" t="s">
        <v>11</v>
      </c>
      <c r="C15" s="10" t="n">
        <v>2416.6</v>
      </c>
      <c r="D15" s="10" t="n">
        <v>2294.23</v>
      </c>
      <c r="E15" s="10" t="n">
        <f aca="false">IF(COUNT(C15,D15)=2,D15-C15,"")</f>
        <v>-122.37</v>
      </c>
    </row>
    <row r="16" customFormat="false" ht="15" hidden="false" customHeight="false" outlineLevel="0" collapsed="false">
      <c r="A16" s="8" t="n">
        <v>46307</v>
      </c>
      <c r="B16" s="9" t="s">
        <v>12</v>
      </c>
      <c r="C16" s="10" t="n">
        <v>2399.8</v>
      </c>
      <c r="D16" s="10" t="n">
        <v>2271.49</v>
      </c>
      <c r="E16" s="10" t="n">
        <f aca="false">IF(COUNT(C16,D16)=2,D16-C16,"")</f>
        <v>-128.31</v>
      </c>
    </row>
    <row r="17" customFormat="false" ht="15" hidden="false" customHeight="false" outlineLevel="0" collapsed="false">
      <c r="A17" s="4" t="n">
        <v>46308</v>
      </c>
      <c r="B17" s="5" t="s">
        <v>13</v>
      </c>
      <c r="C17" s="6" t="s">
        <v>8</v>
      </c>
      <c r="D17" s="7"/>
      <c r="E17" s="7" t="str">
        <f aca="false">IF(COUNT(C17,D17)=2,D17-C17,"")</f>
        <v/>
      </c>
    </row>
    <row r="18" customFormat="false" ht="15" hidden="false" customHeight="false" outlineLevel="0" collapsed="false">
      <c r="A18" s="8" t="n">
        <v>46309</v>
      </c>
      <c r="B18" s="9" t="s">
        <v>14</v>
      </c>
      <c r="C18" s="10" t="n">
        <v>2108.81</v>
      </c>
      <c r="D18" s="10" t="n">
        <v>1964.66</v>
      </c>
      <c r="E18" s="10" t="n">
        <f aca="false">IF(COUNT(C18,D18)=2,D18-C18,"")</f>
        <v>-144.15</v>
      </c>
    </row>
    <row r="19" customFormat="false" ht="15" hidden="false" customHeight="false" outlineLevel="0" collapsed="false">
      <c r="A19" s="8" t="n">
        <v>46310</v>
      </c>
      <c r="B19" s="9" t="s">
        <v>7</v>
      </c>
      <c r="C19" s="10" t="n">
        <v>2059.59</v>
      </c>
      <c r="D19" s="10" t="n">
        <v>1905.54</v>
      </c>
      <c r="E19" s="10" t="n">
        <f aca="false">IF(COUNT(C19,D19)=2,D19-C19,"")</f>
        <v>-154.05</v>
      </c>
    </row>
    <row r="20" customFormat="false" ht="15" hidden="false" customHeight="false" outlineLevel="0" collapsed="false">
      <c r="A20" s="8" t="n">
        <v>46311</v>
      </c>
      <c r="B20" s="9" t="s">
        <v>9</v>
      </c>
      <c r="C20" s="10" t="n">
        <v>2048.29</v>
      </c>
      <c r="D20" s="10" t="n">
        <v>1905.13</v>
      </c>
      <c r="E20" s="10" t="n">
        <f aca="false">IF(COUNT(C20,D20)=2,D20-C20,"")</f>
        <v>-143.16</v>
      </c>
    </row>
    <row r="21" customFormat="false" ht="15" hidden="false" customHeight="false" outlineLevel="0" collapsed="false">
      <c r="A21" s="8" t="n">
        <v>46312</v>
      </c>
      <c r="B21" s="9" t="s">
        <v>10</v>
      </c>
      <c r="C21" s="10" t="n">
        <v>1676.61</v>
      </c>
      <c r="D21" s="10" t="n">
        <v>1449.3</v>
      </c>
      <c r="E21" s="10" t="n">
        <f aca="false">IF(COUNT(C21,D21)=2,D21-C21,"")</f>
        <v>-227.31</v>
      </c>
    </row>
    <row r="22" customFormat="false" ht="15" hidden="false" customHeight="false" outlineLevel="0" collapsed="false">
      <c r="A22" s="8" t="n">
        <v>46313</v>
      </c>
      <c r="B22" s="9" t="s">
        <v>11</v>
      </c>
      <c r="C22" s="10" t="n">
        <v>1881.17</v>
      </c>
      <c r="D22" s="10" t="n">
        <v>1701.38</v>
      </c>
      <c r="E22" s="10" t="n">
        <f aca="false">IF(COUNT(C22,D22)=2,D22-C22,"")</f>
        <v>-179.79</v>
      </c>
    </row>
    <row r="23" customFormat="false" ht="15" hidden="false" customHeight="false" outlineLevel="0" collapsed="false">
      <c r="A23" s="8" t="n">
        <v>46314</v>
      </c>
      <c r="B23" s="9" t="s">
        <v>12</v>
      </c>
      <c r="C23" s="10" t="n">
        <v>2100.37</v>
      </c>
      <c r="D23" s="10" t="n">
        <v>1930.48</v>
      </c>
      <c r="E23" s="10" t="n">
        <f aca="false">IF(COUNT(C23,D23)=2,D23-C23,"")</f>
        <v>-169.89</v>
      </c>
    </row>
    <row r="24" customFormat="false" ht="15" hidden="false" customHeight="false" outlineLevel="0" collapsed="false">
      <c r="A24" s="8" t="n">
        <v>46315</v>
      </c>
      <c r="B24" s="9" t="s">
        <v>13</v>
      </c>
      <c r="C24" s="10" t="n">
        <v>2157.54</v>
      </c>
      <c r="D24" s="10" t="n">
        <v>2004.48</v>
      </c>
      <c r="E24" s="10" t="n">
        <f aca="false">IF(COUNT(C24,D24)=2,D24-C24,"")</f>
        <v>-153.06</v>
      </c>
    </row>
    <row r="25" customFormat="false" ht="15" hidden="false" customHeight="false" outlineLevel="0" collapsed="false">
      <c r="A25" s="8" t="n">
        <v>46316</v>
      </c>
      <c r="B25" s="9" t="s">
        <v>14</v>
      </c>
      <c r="C25" s="10" t="n">
        <v>1940.87</v>
      </c>
      <c r="D25" s="10" t="n">
        <v>1782.86</v>
      </c>
      <c r="E25" s="10" t="n">
        <f aca="false">IF(COUNT(C25,D25)=2,D25-C25,"")</f>
        <v>-158.01</v>
      </c>
    </row>
    <row r="26" customFormat="false" ht="15" hidden="false" customHeight="false" outlineLevel="0" collapsed="false">
      <c r="A26" s="8" t="n">
        <v>46317</v>
      </c>
      <c r="B26" s="9" t="s">
        <v>7</v>
      </c>
      <c r="C26" s="10" t="n">
        <v>1976.46</v>
      </c>
      <c r="D26" s="10" t="n">
        <v>1816.47</v>
      </c>
      <c r="E26" s="10" t="n">
        <f aca="false">IF(COUNT(C26,D26)=2,D26-C26,"")</f>
        <v>-159.99</v>
      </c>
    </row>
    <row r="27" customFormat="false" ht="15" hidden="false" customHeight="false" outlineLevel="0" collapsed="false">
      <c r="A27" s="8" t="n">
        <v>46318</v>
      </c>
      <c r="B27" s="9" t="s">
        <v>9</v>
      </c>
      <c r="C27" s="10" t="n">
        <v>1968.79</v>
      </c>
      <c r="D27" s="10" t="n">
        <v>1805.83</v>
      </c>
      <c r="E27" s="10" t="n">
        <f aca="false">IF(COUNT(C27,D27)=2,D27-C27,"")</f>
        <v>-162.96</v>
      </c>
    </row>
    <row r="28" customFormat="false" ht="15" hidden="false" customHeight="false" outlineLevel="0" collapsed="false">
      <c r="A28" s="8" t="n">
        <v>46319</v>
      </c>
      <c r="B28" s="9" t="s">
        <v>10</v>
      </c>
      <c r="C28" s="10" t="n">
        <v>1981.56</v>
      </c>
      <c r="D28" s="10" t="n">
        <v>1822.56</v>
      </c>
      <c r="E28" s="10" t="n">
        <f aca="false">IF(COUNT(C28,D28)=2,D28-C28,"")</f>
        <v>-159</v>
      </c>
    </row>
    <row r="29" customFormat="false" ht="15" hidden="false" customHeight="false" outlineLevel="0" collapsed="false">
      <c r="A29" s="8" t="n">
        <v>46320</v>
      </c>
      <c r="B29" s="9" t="s">
        <v>11</v>
      </c>
      <c r="C29" s="10" t="n">
        <v>1868.4</v>
      </c>
      <c r="D29" s="10" t="n">
        <v>1690.59</v>
      </c>
      <c r="E29" s="10" t="n">
        <f aca="false">IF(COUNT(C29,D29)=2,D29-C29,"")</f>
        <v>-177.81</v>
      </c>
    </row>
    <row r="30" customFormat="false" ht="15" hidden="false" customHeight="false" outlineLevel="0" collapsed="false">
      <c r="A30" s="8" t="n">
        <v>46321</v>
      </c>
      <c r="B30" s="9" t="s">
        <v>12</v>
      </c>
      <c r="C30" s="10" t="n">
        <v>1934.13</v>
      </c>
      <c r="D30" s="10" t="n">
        <v>1769.19</v>
      </c>
      <c r="E30" s="10" t="n">
        <f aca="false">IF(COUNT(C30,D30)=2,D30-C30,"")</f>
        <v>-164.94</v>
      </c>
    </row>
    <row r="31" customFormat="false" ht="15" hidden="false" customHeight="false" outlineLevel="0" collapsed="false">
      <c r="A31" s="8" t="n">
        <v>46322</v>
      </c>
      <c r="B31" s="9" t="s">
        <v>13</v>
      </c>
      <c r="C31" s="10" t="n">
        <v>1890.79</v>
      </c>
      <c r="D31" s="10" t="n">
        <v>1714.96</v>
      </c>
      <c r="E31" s="10" t="n">
        <f aca="false">IF(COUNT(C31,D31)=2,D31-C31,"")</f>
        <v>-175.83</v>
      </c>
    </row>
    <row r="32" customFormat="false" ht="15" hidden="false" customHeight="false" outlineLevel="0" collapsed="false">
      <c r="A32" s="8" t="n">
        <v>46323</v>
      </c>
      <c r="B32" s="9" t="s">
        <v>14</v>
      </c>
      <c r="C32" s="10" t="n">
        <v>2034.95</v>
      </c>
      <c r="D32" s="10" t="n">
        <v>1867.04</v>
      </c>
      <c r="E32" s="10" t="n">
        <f aca="false">IF(COUNT(C32,D32)=2,D32-C32,"")</f>
        <v>-167.91</v>
      </c>
    </row>
    <row r="33" customFormat="false" ht="15" hidden="false" customHeight="false" outlineLevel="0" collapsed="false">
      <c r="A33" s="8" t="n">
        <v>46324</v>
      </c>
      <c r="B33" s="9" t="s">
        <v>7</v>
      </c>
      <c r="C33" s="10" t="n">
        <v>1945.85</v>
      </c>
      <c r="D33" s="10" t="n">
        <v>1761.11</v>
      </c>
      <c r="E33" s="10" t="n">
        <f aca="false">IF(COUNT(C33,D33)=2,D33-C33,"")</f>
        <v>-184.74</v>
      </c>
    </row>
    <row r="34" customFormat="false" ht="15" hidden="false" customHeight="false" outlineLevel="0" collapsed="false">
      <c r="A34" s="8" t="n">
        <v>46325</v>
      </c>
      <c r="B34" s="9" t="s">
        <v>9</v>
      </c>
      <c r="C34" s="10" t="n">
        <v>1980.37</v>
      </c>
      <c r="D34" s="10" t="n">
        <v>1802.56</v>
      </c>
      <c r="E34" s="10" t="n">
        <f aca="false">IF(COUNT(C34,D34)=2,D34-C34,"")</f>
        <v>-177.81</v>
      </c>
    </row>
    <row r="35" customFormat="false" ht="15" hidden="false" customHeight="false" outlineLevel="0" collapsed="false">
      <c r="A35" s="8" t="n">
        <v>46326</v>
      </c>
      <c r="B35" s="9" t="s">
        <v>10</v>
      </c>
      <c r="C35" s="11" t="s">
        <v>15</v>
      </c>
      <c r="D35" s="10"/>
      <c r="E35" s="10" t="str">
        <f aca="false">IF(COUNT(C35,D35)=2,D35-C35,"")</f>
        <v/>
      </c>
    </row>
    <row r="36" customFormat="false" ht="15" hidden="false" customHeight="false" outlineLevel="0" collapsed="false">
      <c r="A36" s="12" t="s">
        <v>16</v>
      </c>
      <c r="B36" s="13"/>
      <c r="C36" s="14" t="n">
        <f aca="false">SUM(C5:C35)</f>
        <v>50330.49</v>
      </c>
      <c r="D36" s="14" t="n">
        <f aca="false">SUM(D5:D35)</f>
        <v>46609.53</v>
      </c>
      <c r="E36" s="14" t="n">
        <f aca="false">SUM(E5:E35)</f>
        <v>-3720.96</v>
      </c>
    </row>
    <row r="37" customFormat="false" ht="15" hidden="false" customHeight="false" outlineLevel="0" collapsed="false">
      <c r="A37" s="15" t="s">
        <v>17</v>
      </c>
      <c r="B37" s="16"/>
      <c r="C37" s="17" t="str">
        <f aca="false">COUNT(C5:C35) &amp; " of 30 due"</f>
        <v>24 of 30 due</v>
      </c>
      <c r="D37" s="16"/>
      <c r="E37" s="16"/>
    </row>
    <row r="39" customFormat="false" ht="15" hidden="false" customHeight="false" outlineLevel="0" collapsed="false">
      <c r="A39" s="18" t="s">
        <v>18</v>
      </c>
    </row>
    <row r="40" customFormat="false" ht="15" hidden="false" customHeight="false" outlineLevel="0" collapsed="false">
      <c r="A40" s="19" t="s">
        <v>19</v>
      </c>
    </row>
    <row r="41" customFormat="false" ht="15" hidden="false" customHeight="false" outlineLevel="0" collapsed="false">
      <c r="A41" s="19" t="s">
        <v>20</v>
      </c>
    </row>
    <row r="42" customFormat="false" ht="15" hidden="false" customHeight="false" outlineLevel="0" collapsed="false">
      <c r="A42" s="19" t="s">
        <v>21</v>
      </c>
    </row>
    <row r="43" customFormat="false" ht="15" hidden="false" customHeight="false" outlineLevel="0" collapsed="false">
      <c r="A43" s="19" t="s">
        <v>22</v>
      </c>
    </row>
    <row r="44" customFormat="false" ht="15" hidden="false" customHeight="false" outlineLevel="0" collapsed="false">
      <c r="A44" s="19" t="s">
        <v>23</v>
      </c>
    </row>
    <row r="45" customFormat="false" ht="15" hidden="false" customHeight="false" outlineLevel="0" collapsed="false">
      <c r="A45" s="19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2026-10-30T00:00:00Z</dcterms:created>
  <dc:creator>openpyxl</dc:creator>
  <dc:description/>
  <dc:language>en-US</dc:language>
  <cp:lastModifiedBy/>
  <dcterms:modified xsi:type="dcterms:W3CDTF">2026-10-30T00:00:00Z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