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0.00;-#,##0.00;–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392B"/>
      <sz val="9"/>
    </font>
    <font>
      <name val="Arial"/>
      <b val="1"/>
      <sz val="10"/>
    </font>
    <font>
      <name val="Arial"/>
      <b val="1"/>
      <color rgb="001F3864"/>
      <sz val="9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E9E7"/>
      </patternFill>
    </fill>
    <fill>
      <patternFill patternType="solid">
        <fgColor rgb="00E8EDF5"/>
      </patternFill>
    </fill>
  </fills>
  <borders count="4">
    <border>
      <left/>
      <right/>
      <top/>
      <bottom/>
      <diagonal/>
    </border>
    <border>
      <bottom style="medium">
        <color rgb="001F3864"/>
      </bottom>
    </border>
    <border>
      <bottom style="thin">
        <color rgb="00BFBFBF"/>
      </bottom>
    </border>
    <border>
      <top style="medium">
        <color rgb="001F3864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0" borderId="2" pivotButton="0" quotePrefix="0" xfId="0"/>
    <xf numFmtId="0" fontId="4" fillId="0" borderId="2" applyAlignment="1" pivotButton="0" quotePrefix="0" xfId="0">
      <alignment horizontal="center"/>
    </xf>
    <xf numFmtId="166" fontId="4" fillId="0" borderId="2" pivotButton="0" quotePrefix="0" xfId="0"/>
    <xf numFmtId="165" fontId="4" fillId="3" borderId="2" pivotButton="0" quotePrefix="0" xfId="0"/>
    <xf numFmtId="0" fontId="4" fillId="3" borderId="2" applyAlignment="1" pivotButton="0" quotePrefix="0" xfId="0">
      <alignment horizontal="center"/>
    </xf>
    <xf numFmtId="166" fontId="5" fillId="3" borderId="2" applyAlignment="1" pivotButton="0" quotePrefix="0" xfId="0">
      <alignment horizontal="center"/>
    </xf>
    <xf numFmtId="166" fontId="4" fillId="3" borderId="2" pivotButton="0" quotePrefix="0" xfId="0"/>
    <xf numFmtId="0" fontId="6" fillId="4" borderId="3" pivotButton="0" quotePrefix="0" xfId="0"/>
    <xf numFmtId="0" fontId="4" fillId="4" borderId="3" pivotButton="0" quotePrefix="0" xfId="0"/>
    <xf numFmtId="166" fontId="6" fillId="4" borderId="3" pivotButton="0" quotePrefix="0" xfId="0"/>
    <xf numFmtId="0" fontId="6" fillId="4" borderId="0" pivotButton="0" quotePrefix="0" xfId="0"/>
    <xf numFmtId="0" fontId="0" fillId="4" borderId="0" pivotButton="0" quotePrefix="0" xfId="0"/>
    <xf numFmtId="0" fontId="6" fillId="4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8" customWidth="1" min="3" max="3"/>
    <col width="28" customWidth="1" min="4" max="4"/>
    <col width="13" customWidth="1" min="5" max="5"/>
  </cols>
  <sheetData>
    <row r="1">
      <c r="A1" s="1" t="inlineStr">
        <is>
          <t>IFFCO Kalol — Daily Net Generation</t>
        </is>
      </c>
    </row>
    <row r="2">
      <c r="A2" s="2" t="inlineStr">
        <is>
          <t>July 2026 · IFFCO Kalol, Gujarat, India · plant and township</t>
        </is>
      </c>
    </row>
    <row r="4" ht="30" customHeight="1">
      <c r="A4" s="3" t="inlineStr">
        <is>
          <t>Date</t>
        </is>
      </c>
      <c r="B4" s="3" t="inlineStr">
        <is>
          <t>Day</t>
        </is>
      </c>
      <c r="C4" s="3" t="inlineStr">
        <is>
          <t>Net kWh (as printed in report)</t>
        </is>
      </c>
      <c r="D4" s="3" t="inlineStr">
        <is>
          <t>Net kWh (sum of site columns)</t>
        </is>
      </c>
      <c r="E4" s="3" t="inlineStr">
        <is>
          <t>Difference</t>
        </is>
      </c>
    </row>
    <row r="5">
      <c r="A5" s="4" t="n">
        <v>46204</v>
      </c>
      <c r="B5" s="5" t="inlineStr">
        <is>
          <t>Wed</t>
        </is>
      </c>
      <c r="C5" s="6" t="n">
        <v>1828.61</v>
      </c>
      <c r="D5" s="6" t="n">
        <v>1691.39</v>
      </c>
      <c r="E5" s="6">
        <f>IF(COUNT(C5,D5)=2,D5-C5,"")</f>
        <v/>
      </c>
    </row>
    <row r="6">
      <c r="A6" s="4" t="n">
        <v>46205</v>
      </c>
      <c r="B6" s="5" t="inlineStr">
        <is>
          <t>Thu</t>
        </is>
      </c>
      <c r="C6" s="6" t="n">
        <v>1634.74</v>
      </c>
      <c r="D6" s="6" t="n">
        <v>1477.72</v>
      </c>
      <c r="E6" s="6">
        <f>IF(COUNT(C6,D6)=2,D6-C6,"")</f>
        <v/>
      </c>
    </row>
    <row r="7">
      <c r="A7" s="4" t="n">
        <v>46206</v>
      </c>
      <c r="B7" s="5" t="inlineStr">
        <is>
          <t>Fri</t>
        </is>
      </c>
      <c r="C7" s="6" t="n">
        <v>1089.38</v>
      </c>
      <c r="D7" s="6" t="n">
        <v>836.33</v>
      </c>
      <c r="E7" s="6">
        <f>IF(COUNT(C7,D7)=2,D7-C7,"")</f>
        <v/>
      </c>
    </row>
    <row r="8">
      <c r="A8" s="4" t="n">
        <v>46207</v>
      </c>
      <c r="B8" s="5" t="inlineStr">
        <is>
          <t>Sat</t>
        </is>
      </c>
      <c r="C8" s="6" t="n">
        <v>812.05</v>
      </c>
      <c r="D8" s="6" t="n">
        <v>487.72</v>
      </c>
      <c r="E8" s="6">
        <f>IF(COUNT(C8,D8)=2,D8-C8,"")</f>
        <v/>
      </c>
    </row>
    <row r="9">
      <c r="A9" s="7" t="n">
        <v>46208</v>
      </c>
      <c r="B9" s="8" t="inlineStr">
        <is>
          <t>Sun</t>
        </is>
      </c>
      <c r="C9" s="9" t="inlineStr">
        <is>
          <t>no report</t>
        </is>
      </c>
      <c r="D9" s="10" t="n"/>
      <c r="E9" s="10">
        <f>IF(COUNT(C9,D9)=2,D9-C9,"")</f>
        <v/>
      </c>
    </row>
    <row r="10">
      <c r="A10" s="7" t="n">
        <v>46209</v>
      </c>
      <c r="B10" s="8" t="inlineStr">
        <is>
          <t>Mon</t>
        </is>
      </c>
      <c r="C10" s="9" t="inlineStr">
        <is>
          <t>no report</t>
        </is>
      </c>
      <c r="D10" s="10" t="n"/>
      <c r="E10" s="10">
        <f>IF(COUNT(C10,D10)=2,D10-C10,"")</f>
        <v/>
      </c>
    </row>
    <row r="11">
      <c r="A11" s="7" t="n">
        <v>46210</v>
      </c>
      <c r="B11" s="8" t="inlineStr">
        <is>
          <t>Tue</t>
        </is>
      </c>
      <c r="C11" s="9" t="inlineStr">
        <is>
          <t>no report</t>
        </is>
      </c>
      <c r="D11" s="10" t="n"/>
      <c r="E11" s="10">
        <f>IF(COUNT(C11,D11)=2,D11-C11,"")</f>
        <v/>
      </c>
    </row>
    <row r="12">
      <c r="A12" s="4" t="n">
        <v>46211</v>
      </c>
      <c r="B12" s="5" t="inlineStr">
        <is>
          <t>Wed</t>
        </is>
      </c>
      <c r="C12" s="6" t="n">
        <v>1277.27</v>
      </c>
      <c r="D12" s="6" t="n">
        <v>1124.21</v>
      </c>
      <c r="E12" s="6">
        <f>IF(COUNT(C12,D12)=2,D12-C12,"")</f>
        <v/>
      </c>
    </row>
    <row r="13">
      <c r="A13" s="4" t="n">
        <v>46212</v>
      </c>
      <c r="B13" s="5" t="inlineStr">
        <is>
          <t>Thu</t>
        </is>
      </c>
      <c r="C13" s="6" t="n">
        <v>1524.13</v>
      </c>
      <c r="D13" s="6" t="n">
        <v>1393.84</v>
      </c>
      <c r="E13" s="6">
        <f>IF(COUNT(C13,D13)=2,D13-C13,"")</f>
        <v/>
      </c>
    </row>
    <row r="14">
      <c r="A14" s="4" t="n">
        <v>46213</v>
      </c>
      <c r="B14" s="5" t="inlineStr">
        <is>
          <t>Fri</t>
        </is>
      </c>
      <c r="C14" s="6" t="n">
        <v>1780.82</v>
      </c>
      <c r="D14" s="6" t="n">
        <v>1671.32</v>
      </c>
      <c r="E14" s="6">
        <f>IF(COUNT(C14,D14)=2,D14-C14,"")</f>
        <v/>
      </c>
    </row>
    <row r="15">
      <c r="A15" s="4" t="n">
        <v>46214</v>
      </c>
      <c r="B15" s="5" t="inlineStr">
        <is>
          <t>Sat</t>
        </is>
      </c>
      <c r="C15" s="6" t="n">
        <v>1450.84</v>
      </c>
      <c r="D15" s="6" t="n">
        <v>1286.89</v>
      </c>
      <c r="E15" s="6">
        <f>IF(COUNT(C15,D15)=2,D15-C15,"")</f>
        <v/>
      </c>
    </row>
    <row r="16">
      <c r="A16" s="4" t="n">
        <v>46215</v>
      </c>
      <c r="B16" s="5" t="inlineStr">
        <is>
          <t>Sun</t>
        </is>
      </c>
      <c r="C16" s="6" t="n">
        <v>1609.72</v>
      </c>
      <c r="D16" s="6" t="n">
        <v>1480.42</v>
      </c>
      <c r="E16" s="6">
        <f>IF(COUNT(C16,D16)=2,D16-C16,"")</f>
        <v/>
      </c>
    </row>
    <row r="17">
      <c r="A17" s="4" t="n">
        <v>46216</v>
      </c>
      <c r="B17" s="5" t="inlineStr">
        <is>
          <t>Mon</t>
        </is>
      </c>
      <c r="C17" s="6" t="n">
        <v>1769.33</v>
      </c>
      <c r="D17" s="6" t="n">
        <v>1679.63</v>
      </c>
      <c r="E17" s="6">
        <f>IF(COUNT(C17,D17)=2,D17-C17,"")</f>
        <v/>
      </c>
    </row>
    <row r="18">
      <c r="A18" s="4" t="n">
        <v>46217</v>
      </c>
      <c r="B18" s="5" t="inlineStr">
        <is>
          <t>Tue</t>
        </is>
      </c>
      <c r="C18" s="6" t="n">
        <v>1656.41</v>
      </c>
      <c r="D18" s="6" t="n">
        <v>1541.96</v>
      </c>
      <c r="E18" s="6">
        <f>IF(COUNT(C18,D18)=2,D18-C18,"")</f>
        <v/>
      </c>
    </row>
    <row r="19">
      <c r="A19" s="4" t="n">
        <v>46218</v>
      </c>
      <c r="B19" s="5" t="inlineStr">
        <is>
          <t>Wed</t>
        </is>
      </c>
      <c r="C19" s="6" t="n">
        <v>1680.45</v>
      </c>
      <c r="D19" s="6" t="n">
        <v>1567.98</v>
      </c>
      <c r="E19" s="6">
        <f>IF(COUNT(C19,D19)=2,D19-C19,"")</f>
        <v/>
      </c>
    </row>
    <row r="20">
      <c r="A20" s="4" t="n">
        <v>46219</v>
      </c>
      <c r="B20" s="5" t="inlineStr">
        <is>
          <t>Thu</t>
        </is>
      </c>
      <c r="C20" s="6" t="n">
        <v>1730.39</v>
      </c>
      <c r="D20" s="6" t="n">
        <v>1633.76</v>
      </c>
      <c r="E20" s="6">
        <f>IF(COUNT(C20,D20)=2,D20-C20,"")</f>
        <v/>
      </c>
    </row>
    <row r="21">
      <c r="A21" s="4" t="n">
        <v>46220</v>
      </c>
      <c r="B21" s="5" t="inlineStr">
        <is>
          <t>Fri</t>
        </is>
      </c>
      <c r="C21" s="6" t="n">
        <v>1423.04</v>
      </c>
      <c r="D21" s="6" t="n">
        <v>1253.15</v>
      </c>
      <c r="E21" s="6">
        <f>IF(COUNT(C21,D21)=2,D21-C21,"")</f>
        <v/>
      </c>
    </row>
    <row r="22">
      <c r="A22" s="4" t="n">
        <v>46221</v>
      </c>
      <c r="B22" s="5" t="inlineStr">
        <is>
          <t>Sat</t>
        </is>
      </c>
      <c r="C22" s="6" t="n">
        <v>1467.4</v>
      </c>
      <c r="D22" s="6" t="n">
        <v>1303.45</v>
      </c>
      <c r="E22" s="6">
        <f>IF(COUNT(C22,D22)=2,D22-C22,"")</f>
        <v/>
      </c>
    </row>
    <row r="23">
      <c r="A23" s="4" t="n">
        <v>46222</v>
      </c>
      <c r="B23" s="5" t="inlineStr">
        <is>
          <t>Sun</t>
        </is>
      </c>
      <c r="C23" s="6" t="n">
        <v>1653.74</v>
      </c>
      <c r="D23" s="6" t="n">
        <v>1537.31</v>
      </c>
      <c r="E23" s="6">
        <f>IF(COUNT(C23,D23)=2,D23-C23,"")</f>
        <v/>
      </c>
    </row>
    <row r="24">
      <c r="A24" s="4" t="n">
        <v>46223</v>
      </c>
      <c r="B24" s="5" t="inlineStr">
        <is>
          <t>Mon</t>
        </is>
      </c>
      <c r="C24" s="6" t="n">
        <v>1433.06</v>
      </c>
      <c r="D24" s="6" t="n">
        <v>1302.77</v>
      </c>
      <c r="E24" s="6">
        <f>IF(COUNT(C24,D24)=2,D24-C24,"")</f>
        <v/>
      </c>
    </row>
    <row r="25">
      <c r="A25" s="4" t="n">
        <v>46224</v>
      </c>
      <c r="B25" s="5" t="inlineStr">
        <is>
          <t>Tue</t>
        </is>
      </c>
      <c r="C25" s="6" t="n">
        <v>1321.73</v>
      </c>
      <c r="D25" s="6" t="n">
        <v>1130.06</v>
      </c>
      <c r="E25" s="6">
        <f>IF(COUNT(C25,D25)=2,D25-C25,"")</f>
        <v/>
      </c>
    </row>
    <row r="26">
      <c r="A26" s="4" t="n">
        <v>46225</v>
      </c>
      <c r="B26" s="5" t="inlineStr">
        <is>
          <t>Wed</t>
        </is>
      </c>
      <c r="C26" s="6" t="n">
        <v>1216.59</v>
      </c>
      <c r="D26" s="6" t="n">
        <v>992.25</v>
      </c>
      <c r="E26" s="6">
        <f>IF(COUNT(C26,D26)=2,D26-C26,"")</f>
        <v/>
      </c>
    </row>
    <row r="27">
      <c r="A27" s="4" t="n">
        <v>46226</v>
      </c>
      <c r="B27" s="5" t="inlineStr">
        <is>
          <t>Thu</t>
        </is>
      </c>
      <c r="C27" s="6" t="n">
        <v>660.0700000000001</v>
      </c>
      <c r="D27" s="6" t="n">
        <v>286.24</v>
      </c>
      <c r="E27" s="6">
        <f>IF(COUNT(C27,D27)=2,D27-C27,"")</f>
        <v/>
      </c>
    </row>
    <row r="28">
      <c r="A28" s="4" t="n">
        <v>46227</v>
      </c>
      <c r="B28" s="5" t="inlineStr">
        <is>
          <t>Fri</t>
        </is>
      </c>
      <c r="C28" s="6" t="n">
        <v>755.71</v>
      </c>
      <c r="D28" s="6" t="n">
        <v>412.57</v>
      </c>
      <c r="E28" s="6">
        <f>IF(COUNT(C28,D28)=2,D28-C28,"")</f>
        <v/>
      </c>
    </row>
    <row r="29">
      <c r="A29" s="4" t="n">
        <v>46228</v>
      </c>
      <c r="B29" s="5" t="inlineStr">
        <is>
          <t>Sat</t>
        </is>
      </c>
      <c r="C29" s="6" t="n">
        <v>795.33</v>
      </c>
      <c r="D29" s="6" t="n">
        <v>466.05</v>
      </c>
      <c r="E29" s="6">
        <f>IF(COUNT(C29,D29)=2,D29-C29,"")</f>
        <v/>
      </c>
    </row>
    <row r="30">
      <c r="A30" s="4" t="n">
        <v>46229</v>
      </c>
      <c r="B30" s="5" t="inlineStr">
        <is>
          <t>Sun</t>
        </is>
      </c>
      <c r="C30" s="6" t="n">
        <v>847.96</v>
      </c>
      <c r="D30" s="6" t="n">
        <v>562.24</v>
      </c>
      <c r="E30" s="6">
        <f>IF(COUNT(C30,D30)=2,D30-C30,"")</f>
        <v/>
      </c>
    </row>
    <row r="31">
      <c r="A31" s="7" t="n">
        <v>46230</v>
      </c>
      <c r="B31" s="8" t="inlineStr">
        <is>
          <t>Mon</t>
        </is>
      </c>
      <c r="C31" s="9" t="inlineStr">
        <is>
          <t>no report</t>
        </is>
      </c>
      <c r="D31" s="10" t="n"/>
      <c r="E31" s="10">
        <f>IF(COUNT(C31,D31)=2,D31-C31,"")</f>
        <v/>
      </c>
    </row>
    <row r="32">
      <c r="A32" s="7" t="n">
        <v>46231</v>
      </c>
      <c r="B32" s="8" t="inlineStr">
        <is>
          <t>Tue</t>
        </is>
      </c>
      <c r="C32" s="9" t="inlineStr">
        <is>
          <t>no report</t>
        </is>
      </c>
      <c r="D32" s="10" t="n"/>
      <c r="E32" s="10">
        <f>IF(COUNT(C32,D32)=2,D32-C32,"")</f>
        <v/>
      </c>
    </row>
    <row r="33">
      <c r="A33" s="7" t="n">
        <v>46232</v>
      </c>
      <c r="B33" s="8" t="inlineStr">
        <is>
          <t>Wed</t>
        </is>
      </c>
      <c r="C33" s="9" t="inlineStr">
        <is>
          <t>no report</t>
        </is>
      </c>
      <c r="D33" s="10" t="n"/>
      <c r="E33" s="10">
        <f>IF(COUNT(C33,D33)=2,D33-C33,"")</f>
        <v/>
      </c>
    </row>
    <row r="34">
      <c r="A34" s="7" t="n">
        <v>46233</v>
      </c>
      <c r="B34" s="8" t="inlineStr">
        <is>
          <t>Thu</t>
        </is>
      </c>
      <c r="C34" s="9" t="inlineStr">
        <is>
          <t>no report</t>
        </is>
      </c>
      <c r="D34" s="10" t="n"/>
      <c r="E34" s="10">
        <f>IF(COUNT(C34,D34)=2,D34-C34,"")</f>
        <v/>
      </c>
    </row>
    <row r="35">
      <c r="A35" s="4" t="n">
        <v>46234</v>
      </c>
      <c r="B35" s="5" t="inlineStr">
        <is>
          <t>Fri</t>
        </is>
      </c>
      <c r="C35" s="6" t="n">
        <v>1199.68</v>
      </c>
      <c r="D35" s="6" t="n">
        <v>962.47</v>
      </c>
      <c r="E35" s="6">
        <f>IF(COUNT(C35,D35)=2,D35-C35,"")</f>
        <v/>
      </c>
    </row>
    <row r="36">
      <c r="A36" s="11" t="inlineStr">
        <is>
          <t>Month total</t>
        </is>
      </c>
      <c r="B36" s="12" t="inlineStr"/>
      <c r="C36" s="13">
        <f>SUM(C5:C35)</f>
        <v/>
      </c>
      <c r="D36" s="13">
        <f>SUM(D5:D35)</f>
        <v/>
      </c>
      <c r="E36" s="13">
        <f>SUM(E5:E35)</f>
        <v/>
      </c>
    </row>
    <row r="37">
      <c r="A37" s="14" t="inlineStr">
        <is>
          <t>Days reported</t>
        </is>
      </c>
      <c r="B37" s="15" t="n"/>
      <c r="C37" s="16">
        <f>COUNT(C5:C35) &amp; " of 31 due"</f>
        <v/>
      </c>
      <c r="D37" s="15" t="n"/>
      <c r="E37" s="15" t="n"/>
    </row>
    <row r="39">
      <c r="A39" s="17" t="inlineStr">
        <is>
          <t>Notes</t>
        </is>
      </c>
    </row>
    <row r="40">
      <c r="A40" s="18" t="inlineStr">
        <is>
          <t>• “As printed” is the TOTAL NET GENERATION cell of the daily inverter report, i.e. the figure the plant circulates.</t>
        </is>
      </c>
    </row>
    <row r="41">
      <c r="A41" s="18" t="inlineStr">
        <is>
          <t>• “Sum of site columns” adds the individual site readings in the same sheet.</t>
        </is>
      </c>
    </row>
    <row r="42">
      <c r="A42" s="18" t="inlineStr">
        <is>
          <t>• The two disagree every day. The printed plant total leaves out the MPSS &amp; MCC 13-16 column, and the printed net total adds a flat 387.60 kWh that does not come from any column.</t>
        </is>
      </c>
    </row>
    <row r="43">
      <c r="A43" s="18" t="inlineStr">
        <is>
          <t>• Figures are reproduced exactly as the daily report gave them; nothing is corrected here.</t>
        </is>
      </c>
    </row>
    <row r="44">
      <c r="A44" s="18" t="inlineStr">
        <is>
          <t>• No report arrived on 7 day(s): 05 Jul, 06 Jul, 07 Jul, 27 Jul, 28 Jul, 29 Jul, 30 Jul.</t>
        </is>
      </c>
    </row>
    <row r="45">
      <c r="A45" s="18" t="inlineStr">
        <is>
          <t>• Generated from data/processed/generation_daily.csv.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2026-07-31T00:00:00Z</dcterms:created>
  <dcterms:modified xsi:type="dcterms:W3CDTF">2026-07-31T00:00:00Z</dcterms:modified>
</cp:coreProperties>
</file>